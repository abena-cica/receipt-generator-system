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ICA\Desktop\"/>
    </mc:Choice>
  </mc:AlternateContent>
  <xr:revisionPtr revIDLastSave="0" documentId="13_ncr:1_{D3555E88-810B-48F9-A2EF-3833DB226108}" xr6:coauthVersionLast="47" xr6:coauthVersionMax="47" xr10:uidLastSave="{00000000-0000-0000-0000-000000000000}"/>
  <bookViews>
    <workbookView xWindow="-110" yWindow="-110" windowWidth="19420" windowHeight="10300" activeTab="3" xr2:uid="{D0143260-6C4C-4EF4-9E2C-D2A0D7DDCD91}"/>
  </bookViews>
  <sheets>
    <sheet name="Start Here" sheetId="6" r:id="rId1"/>
    <sheet name="Receipt" sheetId="1" r:id="rId2"/>
    <sheet name="ReceiptDB" sheetId="2" r:id="rId3"/>
    <sheet name="ReceiptItemDB" sheetId="3" r:id="rId4"/>
    <sheet name="Customers" sheetId="4" r:id="rId5"/>
    <sheet name="Items" sheetId="5" r:id="rId6"/>
  </sheets>
  <definedNames>
    <definedName name="_xlnm.Print_Area" localSheetId="1">Receipt!$B$1:$F$37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8" i="1" l="1"/>
  <c r="F11" i="1"/>
  <c r="F10" i="1"/>
  <c r="F9" i="1"/>
  <c r="F35" i="1" l="1"/>
  <c r="F36" i="1" l="1"/>
  <c r="F37" i="1" s="1"/>
</calcChain>
</file>

<file path=xl/sharedStrings.xml><?xml version="1.0" encoding="utf-8"?>
<sst xmlns="http://schemas.openxmlformats.org/spreadsheetml/2006/main" count="42" uniqueCount="40">
  <si>
    <t>ITEM DATABASE</t>
  </si>
  <si>
    <t>ITEM NAME</t>
  </si>
  <si>
    <t>DESCRIPTION</t>
  </si>
  <si>
    <t>PRICE</t>
  </si>
  <si>
    <t>CUSTOMER DATABASE</t>
  </si>
  <si>
    <t>CUSTOMER NAME</t>
  </si>
  <si>
    <t>ADDRESS</t>
  </si>
  <si>
    <t>PHONE NUMBER</t>
  </si>
  <si>
    <t>REC ID</t>
  </si>
  <si>
    <t>ITEM DESC</t>
  </si>
  <si>
    <t>QTY</t>
  </si>
  <si>
    <t>UNIT PRICE</t>
  </si>
  <si>
    <t>TOTAL</t>
  </si>
  <si>
    <t>REC. ROW</t>
  </si>
  <si>
    <t>DB ROW</t>
  </si>
  <si>
    <t>RECEIPT ITEMS</t>
  </si>
  <si>
    <t>DATABASE</t>
  </si>
  <si>
    <t>RECEIPTS DATABASE</t>
  </si>
  <si>
    <t>REC ID.</t>
  </si>
  <si>
    <t>REC DATE</t>
  </si>
  <si>
    <t>Item Name</t>
  </si>
  <si>
    <t>Description</t>
  </si>
  <si>
    <t>Qty</t>
  </si>
  <si>
    <t>Unit Price</t>
  </si>
  <si>
    <t>Total</t>
  </si>
  <si>
    <t>Receipt#</t>
  </si>
  <si>
    <t>Rec. Date</t>
  </si>
  <si>
    <t>Search Receipt</t>
  </si>
  <si>
    <t>Subtotal</t>
  </si>
  <si>
    <t>Tax</t>
  </si>
  <si>
    <t>Taxable</t>
  </si>
  <si>
    <t>Grand Total</t>
  </si>
  <si>
    <t>Total Tax Rate</t>
  </si>
  <si>
    <t>Yes</t>
  </si>
  <si>
    <t>THANK YOU FOR YOUR BUSINESS!</t>
  </si>
  <si>
    <t>Customer:</t>
  </si>
  <si>
    <t>NAME</t>
  </si>
  <si>
    <t xml:space="preserve">FOR CUSTOMIZATIONS AND GENERAL ASSISSTANCE, </t>
  </si>
  <si>
    <t>KINDLY CLICK HERE TO CONTACT ME</t>
  </si>
  <si>
    <t>EMAIL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</si>
</sst>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£&quot;* #,##0.00_-;\-&quot;£&quot;* #,##0.00_-;_-&quot;£&quot;* &quot;-&quot;??_-;_-@_-"/>
    <numFmt numFmtId="164" formatCode="\₵#,##0.00"/>
    <numFmt numFmtId="165" formatCode="0000000000"/>
    <numFmt numFmtId="166" formatCode=";;"/>
  </numFmts>
  <fonts count="1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4"/>
      <color theme="1"/>
      <name val="Times New Roman"/>
      <family val="1"/>
    </font>
    <font>
      <u/>
      <sz val="11"/>
      <color theme="10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6"/>
      <color theme="1"/>
      <name val="Amasis MT Pro Light"/>
      <family val="1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n">
        <color auto="1"/>
      </right>
      <top style="thick">
        <color auto="1"/>
      </top>
      <bottom/>
      <diagonal/>
    </border>
    <border>
      <left/>
      <right style="thin">
        <color auto="1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52">
    <xf numFmtId="0" fontId="0" fillId="0" borderId="0" xfId="0"/>
    <xf numFmtId="164" fontId="0" fillId="0" borderId="0" xfId="0" applyNumberForma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2"/>
    <xf numFmtId="0" fontId="2" fillId="2" borderId="1" xfId="0" applyFont="1" applyFill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6" xfId="0" applyBorder="1" applyAlignment="1">
      <alignment horizontal="right"/>
    </xf>
    <xf numFmtId="0" fontId="2" fillId="2" borderId="8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2" xfId="0" applyBorder="1"/>
    <xf numFmtId="0" fontId="0" fillId="0" borderId="13" xfId="0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15" xfId="0" applyBorder="1" applyAlignment="1">
      <alignment horizontal="right"/>
    </xf>
    <xf numFmtId="164" fontId="0" fillId="0" borderId="14" xfId="0" applyNumberFormat="1" applyBorder="1"/>
    <xf numFmtId="164" fontId="0" fillId="0" borderId="16" xfId="0" applyNumberFormat="1" applyBorder="1"/>
    <xf numFmtId="0" fontId="0" fillId="3" borderId="2" xfId="0" applyFill="1" applyBorder="1"/>
    <xf numFmtId="0" fontId="0" fillId="4" borderId="2" xfId="0" applyFill="1" applyBorder="1"/>
    <xf numFmtId="9" fontId="0" fillId="0" borderId="2" xfId="0" applyNumberFormat="1" applyBorder="1"/>
    <xf numFmtId="164" fontId="0" fillId="0" borderId="9" xfId="0" applyNumberFormat="1" applyBorder="1"/>
    <xf numFmtId="0" fontId="0" fillId="0" borderId="6" xfId="0" applyBorder="1" applyAlignment="1">
      <alignment horizontal="center" vertical="top"/>
    </xf>
    <xf numFmtId="0" fontId="0" fillId="0" borderId="0" xfId="0" applyBorder="1" applyAlignment="1">
      <alignment horizontal="center" vertical="top"/>
    </xf>
    <xf numFmtId="164" fontId="0" fillId="0" borderId="17" xfId="0" applyNumberFormat="1" applyBorder="1" applyAlignment="1">
      <alignment horizontal="center" vertical="top"/>
    </xf>
    <xf numFmtId="164" fontId="0" fillId="0" borderId="0" xfId="0" applyNumberFormat="1" applyBorder="1" applyAlignment="1">
      <alignment horizontal="center" vertical="top"/>
    </xf>
    <xf numFmtId="164" fontId="0" fillId="0" borderId="7" xfId="0" applyNumberFormat="1" applyBorder="1" applyAlignment="1">
      <alignment horizontal="center" vertical="top"/>
    </xf>
    <xf numFmtId="164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/>
    </xf>
    <xf numFmtId="14" fontId="0" fillId="0" borderId="7" xfId="0" applyNumberFormat="1" applyBorder="1" applyAlignment="1">
      <alignment horizontal="left"/>
    </xf>
    <xf numFmtId="0" fontId="7" fillId="0" borderId="6" xfId="0" applyFont="1" applyBorder="1"/>
    <xf numFmtId="0" fontId="0" fillId="0" borderId="18" xfId="0" applyBorder="1"/>
    <xf numFmtId="0" fontId="0" fillId="0" borderId="19" xfId="0" applyBorder="1"/>
    <xf numFmtId="165" fontId="0" fillId="0" borderId="0" xfId="0" quotePrefix="1" applyNumberFormat="1"/>
    <xf numFmtId="165" fontId="0" fillId="0" borderId="0" xfId="0" applyNumberFormat="1"/>
    <xf numFmtId="165" fontId="4" fillId="0" borderId="0" xfId="0" applyNumberFormat="1" applyFont="1" applyAlignment="1"/>
    <xf numFmtId="14" fontId="0" fillId="0" borderId="0" xfId="0" applyNumberFormat="1"/>
    <xf numFmtId="165" fontId="0" fillId="0" borderId="0" xfId="1" quotePrefix="1" applyNumberFormat="1" applyFont="1" applyBorder="1" applyAlignment="1">
      <alignment horizontal="left"/>
    </xf>
    <xf numFmtId="14" fontId="0" fillId="0" borderId="0" xfId="0" applyNumberFormat="1" applyBorder="1"/>
    <xf numFmtId="166" fontId="0" fillId="0" borderId="0" xfId="0" applyNumberFormat="1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9" fillId="0" borderId="0" xfId="0" applyFont="1"/>
    <xf numFmtId="164" fontId="3" fillId="0" borderId="0" xfId="0" applyNumberFormat="1" applyFont="1"/>
  </cellXfs>
  <cellStyles count="3">
    <cellStyle name="Currency" xfId="1" builtinId="4"/>
    <cellStyle name="Hyperlink" xfId="2" builtinId="8"/>
    <cellStyle name="Normal" xfId="0" builtinId="0"/>
  </cellStyles>
  <dxfs count="11">
    <dxf>
      <border>
        <bottom style="dotted">
          <color auto="1"/>
        </bottom>
        <vertical/>
        <horizontal/>
      </border>
    </dxf>
    <dxf>
      <border>
        <bottom style="dotted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dotted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numFmt numFmtId="164" formatCode="\₵#,##0.00"/>
    </dxf>
    <dxf>
      <numFmt numFmtId="165" formatCode="000000000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numFmt numFmtId="164" formatCode="\₵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5" Type="http://schemas.openxmlformats.org/officeDocument/2006/relationships/image" Target="../media/image5.emf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microsoft.com/office/2007/relationships/hdphoto" Target="../media/hdphoto1.wdp"/><Relationship Id="rId7" Type="http://schemas.microsoft.com/office/2007/relationships/hdphoto" Target="../media/hdphoto3.wdp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9.png"/><Relationship Id="rId5" Type="http://schemas.microsoft.com/office/2007/relationships/hdphoto" Target="../media/hdphoto2.wdp"/><Relationship Id="rId10" Type="http://schemas.openxmlformats.org/officeDocument/2006/relationships/image" Target="../media/image12.png"/><Relationship Id="rId4" Type="http://schemas.openxmlformats.org/officeDocument/2006/relationships/image" Target="../media/image8.png"/><Relationship Id="rId9" Type="http://schemas.openxmlformats.org/officeDocument/2006/relationships/image" Target="../media/image11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385558</xdr:colOff>
      <xdr:row>21</xdr:row>
      <xdr:rowOff>19050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5D59966-8FF1-1368-8583-61523DB49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310358" cy="4051300"/>
        </a:xfrm>
        <a:prstGeom prst="rect">
          <a:avLst/>
        </a:prstGeom>
      </xdr:spPr>
    </xdr:pic>
    <xdr:clientData/>
  </xdr:twoCellAnchor>
  <xdr:twoCellAnchor>
    <xdr:from>
      <xdr:col>15</xdr:col>
      <xdr:colOff>234950</xdr:colOff>
      <xdr:row>3</xdr:row>
      <xdr:rowOff>0</xdr:rowOff>
    </xdr:from>
    <xdr:to>
      <xdr:col>18</xdr:col>
      <xdr:colOff>520700</xdr:colOff>
      <xdr:row>5</xdr:row>
      <xdr:rowOff>165100</xdr:rowOff>
    </xdr:to>
    <xdr:sp macro="[0]!Contact_WhatsApp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2F05CC4-C54E-2199-675B-D5BC4FD6508E}"/>
            </a:ext>
          </a:extLst>
        </xdr:cNvPr>
        <xdr:cNvSpPr/>
      </xdr:nvSpPr>
      <xdr:spPr>
        <a:xfrm>
          <a:off x="9378950" y="717550"/>
          <a:ext cx="2114550" cy="533400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en-GB" sz="1100" b="1">
              <a:solidFill>
                <a:schemeClr val="tx1"/>
              </a:solidFill>
              <a:latin typeface="Amasis MT Pro Light" panose="02040304050005020304" pitchFamily="18" charset="0"/>
            </a:rPr>
            <a:t>CONTACT ME VIA WHATSAPP</a:t>
          </a:r>
        </a:p>
      </xdr:txBody>
    </xdr:sp>
    <xdr:clientData/>
  </xdr:twoCellAnchor>
  <xdr:twoCellAnchor editAs="oneCell">
    <xdr:from>
      <xdr:col>15</xdr:col>
      <xdr:colOff>488950</xdr:colOff>
      <xdr:row>3</xdr:row>
      <xdr:rowOff>38100</xdr:rowOff>
    </xdr:from>
    <xdr:to>
      <xdr:col>16</xdr:col>
      <xdr:colOff>314325</xdr:colOff>
      <xdr:row>5</xdr:row>
      <xdr:rowOff>104775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6255CC88-1358-B357-3578-FDC905D763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32950" y="755650"/>
          <a:ext cx="434975" cy="434975"/>
        </a:xfrm>
        <a:prstGeom prst="rect">
          <a:avLst/>
        </a:prstGeom>
      </xdr:spPr>
    </xdr:pic>
    <xdr:clientData/>
  </xdr:twoCellAnchor>
  <xdr:twoCellAnchor>
    <xdr:from>
      <xdr:col>15</xdr:col>
      <xdr:colOff>234950</xdr:colOff>
      <xdr:row>8</xdr:row>
      <xdr:rowOff>0</xdr:rowOff>
    </xdr:from>
    <xdr:to>
      <xdr:col>18</xdr:col>
      <xdr:colOff>520700</xdr:colOff>
      <xdr:row>10</xdr:row>
      <xdr:rowOff>165100</xdr:rowOff>
    </xdr:to>
    <xdr:sp macro="[0]!Contact_Email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26EF5853-4042-9572-D83A-AF183F43E951}"/>
            </a:ext>
          </a:extLst>
        </xdr:cNvPr>
        <xdr:cNvSpPr/>
      </xdr:nvSpPr>
      <xdr:spPr>
        <a:xfrm>
          <a:off x="9378950" y="1638300"/>
          <a:ext cx="2114550" cy="533400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en-GB" sz="1100" b="1">
              <a:solidFill>
                <a:schemeClr val="tx1"/>
              </a:solidFill>
              <a:latin typeface="Amasis MT Pro Light" panose="02040304050005020304" pitchFamily="18" charset="0"/>
            </a:rPr>
            <a:t>CONTACT ME VIA </a:t>
          </a:r>
        </a:p>
        <a:p>
          <a:pPr algn="r"/>
          <a:r>
            <a:rPr lang="en-GB" sz="1100" b="1">
              <a:solidFill>
                <a:schemeClr val="tx1"/>
              </a:solidFill>
              <a:latin typeface="Amasis MT Pro Light" panose="02040304050005020304" pitchFamily="18" charset="0"/>
            </a:rPr>
            <a:t>E-MAIL</a:t>
          </a:r>
        </a:p>
      </xdr:txBody>
    </xdr:sp>
    <xdr:clientData/>
  </xdr:twoCellAnchor>
  <xdr:twoCellAnchor editAs="oneCell">
    <xdr:from>
      <xdr:col>15</xdr:col>
      <xdr:colOff>431800</xdr:colOff>
      <xdr:row>8</xdr:row>
      <xdr:rowOff>0</xdr:rowOff>
    </xdr:from>
    <xdr:to>
      <xdr:col>16</xdr:col>
      <xdr:colOff>311150</xdr:colOff>
      <xdr:row>10</xdr:row>
      <xdr:rowOff>120650</xdr:rowOff>
    </xdr:to>
    <xdr:pic>
      <xdr:nvPicPr>
        <xdr:cNvPr id="13" name="Graphic 12" descr="Email with solid fill">
          <a:extLst>
            <a:ext uri="{FF2B5EF4-FFF2-40B4-BE49-F238E27FC236}">
              <a16:creationId xmlns:a16="http://schemas.microsoft.com/office/drawing/2014/main" id="{0A377EA1-3858-37B1-67E4-E469611B44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75800" y="1638300"/>
          <a:ext cx="488950" cy="488950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12</xdr:row>
      <xdr:rowOff>0</xdr:rowOff>
    </xdr:from>
    <xdr:to>
      <xdr:col>24</xdr:col>
      <xdr:colOff>6350</xdr:colOff>
      <xdr:row>13</xdr:row>
      <xdr:rowOff>6350</xdr:rowOff>
    </xdr:to>
    <xdr:pic>
      <xdr:nvPicPr>
        <xdr:cNvPr id="2050" name="Picture 2">
          <a:extLst>
            <a:ext uri="{FF2B5EF4-FFF2-40B4-BE49-F238E27FC236}">
              <a16:creationId xmlns:a16="http://schemas.microsoft.com/office/drawing/2014/main" id="{07C3A5F7-7BBB-45AD-C809-077C03BCD7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0" y="2374900"/>
          <a:ext cx="30543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672354</xdr:colOff>
      <xdr:row>0</xdr:row>
      <xdr:rowOff>67235</xdr:rowOff>
    </xdr:from>
    <xdr:to>
      <xdr:col>4</xdr:col>
      <xdr:colOff>243168</xdr:colOff>
      <xdr:row>0</xdr:row>
      <xdr:rowOff>582706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9EC4629-E622-B10B-DC5C-6D7D518E8F06}"/>
            </a:ext>
          </a:extLst>
        </xdr:cNvPr>
        <xdr:cNvSpPr txBox="1"/>
      </xdr:nvSpPr>
      <xdr:spPr>
        <a:xfrm>
          <a:off x="993589" y="67235"/>
          <a:ext cx="2327461" cy="51547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400" i="1">
              <a:solidFill>
                <a:schemeClr val="accent1">
                  <a:lumMod val="7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COMPANY NAME</a:t>
          </a:r>
          <a:br>
            <a:rPr lang="en-GB" sz="1400" i="1">
              <a:solidFill>
                <a:schemeClr val="accent1">
                  <a:lumMod val="7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</a:br>
          <a:r>
            <a:rPr lang="en-GB" sz="1200" i="1">
              <a:solidFill>
                <a:schemeClr val="accent1">
                  <a:lumMod val="7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Company Address</a:t>
          </a:r>
          <a:br>
            <a:rPr lang="en-GB" sz="1200" i="1">
              <a:solidFill>
                <a:schemeClr val="accent1">
                  <a:lumMod val="7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</a:br>
          <a:br>
            <a:rPr lang="en-GB" sz="1400">
              <a:latin typeface="Times New Roman" panose="02020603050405020304" pitchFamily="18" charset="0"/>
              <a:cs typeface="Times New Roman" panose="02020603050405020304" pitchFamily="18" charset="0"/>
            </a:rPr>
          </a:br>
          <a:br>
            <a:rPr lang="en-GB" sz="1400">
              <a:latin typeface="Times New Roman" panose="02020603050405020304" pitchFamily="18" charset="0"/>
              <a:cs typeface="Times New Roman" panose="02020603050405020304" pitchFamily="18" charset="0"/>
            </a:rPr>
          </a:br>
          <a:br>
            <a:rPr lang="en-GB" sz="1400">
              <a:latin typeface="Times New Roman" panose="02020603050405020304" pitchFamily="18" charset="0"/>
              <a:cs typeface="Times New Roman" panose="02020603050405020304" pitchFamily="18" charset="0"/>
            </a:rPr>
          </a:br>
          <a:br>
            <a:rPr lang="en-GB" sz="1400">
              <a:latin typeface="Times New Roman" panose="02020603050405020304" pitchFamily="18" charset="0"/>
              <a:cs typeface="Times New Roman" panose="02020603050405020304" pitchFamily="18" charset="0"/>
            </a:rPr>
          </a:br>
          <a:endParaRPr lang="en-GB" sz="14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358588</xdr:colOff>
      <xdr:row>0</xdr:row>
      <xdr:rowOff>52294</xdr:rowOff>
    </xdr:from>
    <xdr:to>
      <xdr:col>5</xdr:col>
      <xdr:colOff>706343</xdr:colOff>
      <xdr:row>0</xdr:row>
      <xdr:rowOff>537882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6B8BEDAB-AD1E-F89A-28BC-E9763904C596}"/>
            </a:ext>
          </a:extLst>
        </xdr:cNvPr>
        <xdr:cNvSpPr txBox="1"/>
      </xdr:nvSpPr>
      <xdr:spPr>
        <a:xfrm>
          <a:off x="3436470" y="52294"/>
          <a:ext cx="1206873" cy="48558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GB" sz="2000" i="0">
              <a:solidFill>
                <a:schemeClr val="accent1">
                  <a:lumMod val="75000"/>
                </a:schemeClr>
              </a:solidFill>
              <a:latin typeface="+mj-lt"/>
              <a:cs typeface="Times New Roman" panose="02020603050405020304" pitchFamily="18" charset="0"/>
            </a:rPr>
            <a:t>RECEIPT</a:t>
          </a:r>
          <a:br>
            <a:rPr lang="en-GB" sz="1400" i="1">
              <a:solidFill>
                <a:schemeClr val="accent1">
                  <a:lumMod val="7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</a:br>
          <a:br>
            <a:rPr lang="en-GB" sz="1200" i="1">
              <a:solidFill>
                <a:schemeClr val="accent1">
                  <a:lumMod val="7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</a:br>
          <a:br>
            <a:rPr lang="en-GB" sz="1400">
              <a:latin typeface="Times New Roman" panose="02020603050405020304" pitchFamily="18" charset="0"/>
              <a:cs typeface="Times New Roman" panose="02020603050405020304" pitchFamily="18" charset="0"/>
            </a:rPr>
          </a:br>
          <a:br>
            <a:rPr lang="en-GB" sz="1400">
              <a:latin typeface="Times New Roman" panose="02020603050405020304" pitchFamily="18" charset="0"/>
              <a:cs typeface="Times New Roman" panose="02020603050405020304" pitchFamily="18" charset="0"/>
            </a:rPr>
          </a:br>
          <a:br>
            <a:rPr lang="en-GB" sz="1400">
              <a:latin typeface="Times New Roman" panose="02020603050405020304" pitchFamily="18" charset="0"/>
              <a:cs typeface="Times New Roman" panose="02020603050405020304" pitchFamily="18" charset="0"/>
            </a:rPr>
          </a:br>
          <a:br>
            <a:rPr lang="en-GB" sz="1400">
              <a:latin typeface="Times New Roman" panose="02020603050405020304" pitchFamily="18" charset="0"/>
              <a:cs typeface="Times New Roman" panose="02020603050405020304" pitchFamily="18" charset="0"/>
            </a:rPr>
          </a:br>
          <a:endParaRPr lang="en-GB" sz="14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1</xdr:col>
      <xdr:colOff>14532</xdr:colOff>
      <xdr:row>0</xdr:row>
      <xdr:rowOff>22411</xdr:rowOff>
    </xdr:from>
    <xdr:to>
      <xdr:col>1</xdr:col>
      <xdr:colOff>748280</xdr:colOff>
      <xdr:row>0</xdr:row>
      <xdr:rowOff>575235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9FAB207-3172-FCBD-796F-CF787EBE39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5767" y="22411"/>
          <a:ext cx="733748" cy="552824"/>
        </a:xfrm>
        <a:prstGeom prst="rect">
          <a:avLst/>
        </a:prstGeom>
      </xdr:spPr>
    </xdr:pic>
    <xdr:clientData/>
  </xdr:twoCellAnchor>
  <xdr:twoCellAnchor>
    <xdr:from>
      <xdr:col>1</xdr:col>
      <xdr:colOff>22412</xdr:colOff>
      <xdr:row>36</xdr:row>
      <xdr:rowOff>14941</xdr:rowOff>
    </xdr:from>
    <xdr:to>
      <xdr:col>3</xdr:col>
      <xdr:colOff>485589</xdr:colOff>
      <xdr:row>37</xdr:row>
      <xdr:rowOff>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485F8E1C-078A-4520-6655-5ECB09C54A81}"/>
            </a:ext>
          </a:extLst>
        </xdr:cNvPr>
        <xdr:cNvSpPr txBox="1"/>
      </xdr:nvSpPr>
      <xdr:spPr>
        <a:xfrm>
          <a:off x="343647" y="7239000"/>
          <a:ext cx="2711824" cy="17929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700" i="1">
              <a:latin typeface="+mj-lt"/>
            </a:rPr>
            <a:t>VAT @15% ,    GETFUND</a:t>
          </a:r>
          <a:r>
            <a:rPr lang="en-GB" sz="700" i="1" baseline="0">
              <a:latin typeface="+mj-lt"/>
            </a:rPr>
            <a:t> </a:t>
          </a:r>
          <a:r>
            <a:rPr lang="en-GB" sz="700" i="1">
              <a:latin typeface="+mj-lt"/>
            </a:rPr>
            <a:t>@2.50% ,    NHIL @2.5%. </a:t>
          </a:r>
          <a:r>
            <a:rPr lang="en-GB" sz="700" b="1" i="1">
              <a:latin typeface="+mj-lt"/>
            </a:rPr>
            <a:t>Total Tax=20%</a:t>
          </a:r>
        </a:p>
      </xdr:txBody>
    </xdr:sp>
    <xdr:clientData/>
  </xdr:twoCellAnchor>
  <xdr:twoCellAnchor>
    <xdr:from>
      <xdr:col>7</xdr:col>
      <xdr:colOff>14942</xdr:colOff>
      <xdr:row>16</xdr:row>
      <xdr:rowOff>89238</xdr:rowOff>
    </xdr:from>
    <xdr:to>
      <xdr:col>8</xdr:col>
      <xdr:colOff>388472</xdr:colOff>
      <xdr:row>18</xdr:row>
      <xdr:rowOff>155558</xdr:rowOff>
    </xdr:to>
    <xdr:sp macro="[0]!Receipt_WhatsApp" textlink="">
      <xdr:nvSpPr>
        <xdr:cNvPr id="16" name="Rectangle 15">
          <a:extLst>
            <a:ext uri="{FF2B5EF4-FFF2-40B4-BE49-F238E27FC236}">
              <a16:creationId xmlns:a16="http://schemas.microsoft.com/office/drawing/2014/main" id="{DED8C838-3D8C-DE73-1E1E-6F2643B0AC5D}"/>
            </a:ext>
          </a:extLst>
        </xdr:cNvPr>
        <xdr:cNvSpPr/>
      </xdr:nvSpPr>
      <xdr:spPr>
        <a:xfrm>
          <a:off x="6539055" y="3540770"/>
          <a:ext cx="1315788" cy="43503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     SEND</a:t>
          </a:r>
          <a:r>
            <a:rPr lang="en-GB" sz="1100" baseline="0"/>
            <a:t> </a:t>
          </a:r>
          <a:r>
            <a:rPr lang="en-GB" sz="1100"/>
            <a:t>RECEIPT       VIA WHATSAPP</a:t>
          </a:r>
        </a:p>
      </xdr:txBody>
    </xdr:sp>
    <xdr:clientData/>
  </xdr:twoCellAnchor>
  <xdr:twoCellAnchor>
    <xdr:from>
      <xdr:col>7</xdr:col>
      <xdr:colOff>14941</xdr:colOff>
      <xdr:row>5</xdr:row>
      <xdr:rowOff>164352</xdr:rowOff>
    </xdr:from>
    <xdr:to>
      <xdr:col>8</xdr:col>
      <xdr:colOff>395941</xdr:colOff>
      <xdr:row>7</xdr:row>
      <xdr:rowOff>67235</xdr:rowOff>
    </xdr:to>
    <xdr:sp macro="[0]!Receipt_AddNew" textlink="">
      <xdr:nvSpPr>
        <xdr:cNvPr id="37" name="Rectangle 36">
          <a:extLst>
            <a:ext uri="{FF2B5EF4-FFF2-40B4-BE49-F238E27FC236}">
              <a16:creationId xmlns:a16="http://schemas.microsoft.com/office/drawing/2014/main" id="{CB1CC97F-5920-8009-6601-80BD58B70F91}"/>
            </a:ext>
          </a:extLst>
        </xdr:cNvPr>
        <xdr:cNvSpPr/>
      </xdr:nvSpPr>
      <xdr:spPr>
        <a:xfrm>
          <a:off x="5348941" y="1583764"/>
          <a:ext cx="1322294" cy="27641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          NEW RECEIPT</a:t>
          </a:r>
        </a:p>
      </xdr:txBody>
    </xdr:sp>
    <xdr:clientData/>
  </xdr:twoCellAnchor>
  <xdr:twoCellAnchor>
    <xdr:from>
      <xdr:col>7</xdr:col>
      <xdr:colOff>14941</xdr:colOff>
      <xdr:row>8</xdr:row>
      <xdr:rowOff>78889</xdr:rowOff>
    </xdr:from>
    <xdr:to>
      <xdr:col>8</xdr:col>
      <xdr:colOff>395941</xdr:colOff>
      <xdr:row>9</xdr:row>
      <xdr:rowOff>168536</xdr:rowOff>
    </xdr:to>
    <xdr:sp macro="[0]!Receipt_SaveUpdate" textlink="">
      <xdr:nvSpPr>
        <xdr:cNvPr id="38" name="Rectangle 37">
          <a:extLst>
            <a:ext uri="{FF2B5EF4-FFF2-40B4-BE49-F238E27FC236}">
              <a16:creationId xmlns:a16="http://schemas.microsoft.com/office/drawing/2014/main" id="{C82E9AF3-7205-41ED-9656-E60084BDD2BF}"/>
            </a:ext>
          </a:extLst>
        </xdr:cNvPr>
        <xdr:cNvSpPr/>
      </xdr:nvSpPr>
      <xdr:spPr>
        <a:xfrm>
          <a:off x="5348941" y="2058595"/>
          <a:ext cx="1322294" cy="27641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        SAVE RECEIPT</a:t>
          </a:r>
        </a:p>
      </xdr:txBody>
    </xdr:sp>
    <xdr:clientData/>
  </xdr:twoCellAnchor>
  <xdr:twoCellAnchor>
    <xdr:from>
      <xdr:col>7</xdr:col>
      <xdr:colOff>14941</xdr:colOff>
      <xdr:row>10</xdr:row>
      <xdr:rowOff>165250</xdr:rowOff>
    </xdr:from>
    <xdr:to>
      <xdr:col>8</xdr:col>
      <xdr:colOff>395941</xdr:colOff>
      <xdr:row>12</xdr:row>
      <xdr:rowOff>68132</xdr:rowOff>
    </xdr:to>
    <xdr:sp macro="[0]!Receipt_Delete" textlink="">
      <xdr:nvSpPr>
        <xdr:cNvPr id="39" name="Rectangle 38">
          <a:extLst>
            <a:ext uri="{FF2B5EF4-FFF2-40B4-BE49-F238E27FC236}">
              <a16:creationId xmlns:a16="http://schemas.microsoft.com/office/drawing/2014/main" id="{E7F3AB83-6111-A124-E4CC-0EF2FF8EE556}"/>
            </a:ext>
          </a:extLst>
        </xdr:cNvPr>
        <xdr:cNvSpPr/>
      </xdr:nvSpPr>
      <xdr:spPr>
        <a:xfrm>
          <a:off x="5348941" y="2518485"/>
          <a:ext cx="1322294" cy="27641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        DELETE RECEIPT</a:t>
          </a:r>
        </a:p>
      </xdr:txBody>
    </xdr:sp>
    <xdr:clientData/>
  </xdr:twoCellAnchor>
  <xdr:twoCellAnchor>
    <xdr:from>
      <xdr:col>7</xdr:col>
      <xdr:colOff>7470</xdr:colOff>
      <xdr:row>13</xdr:row>
      <xdr:rowOff>79785</xdr:rowOff>
    </xdr:from>
    <xdr:to>
      <xdr:col>8</xdr:col>
      <xdr:colOff>388470</xdr:colOff>
      <xdr:row>15</xdr:row>
      <xdr:rowOff>61451</xdr:rowOff>
    </xdr:to>
    <xdr:sp macro="[0]!Receipt_Print" textlink="">
      <xdr:nvSpPr>
        <xdr:cNvPr id="40" name="Rectangle 39">
          <a:extLst>
            <a:ext uri="{FF2B5EF4-FFF2-40B4-BE49-F238E27FC236}">
              <a16:creationId xmlns:a16="http://schemas.microsoft.com/office/drawing/2014/main" id="{B382A692-7D0F-2140-3E5C-234F2F7840C3}"/>
            </a:ext>
          </a:extLst>
        </xdr:cNvPr>
        <xdr:cNvSpPr/>
      </xdr:nvSpPr>
      <xdr:spPr>
        <a:xfrm>
          <a:off x="6531583" y="2978253"/>
          <a:ext cx="1323258" cy="3503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          GENERATE</a:t>
          </a:r>
          <a:r>
            <a:rPr lang="en-GB" sz="1100" baseline="0"/>
            <a:t> PDF</a:t>
          </a:r>
          <a:endParaRPr lang="en-GB" sz="1100"/>
        </a:p>
      </xdr:txBody>
    </xdr:sp>
    <xdr:clientData/>
  </xdr:twoCellAnchor>
  <xdr:twoCellAnchor editAs="oneCell">
    <xdr:from>
      <xdr:col>6</xdr:col>
      <xdr:colOff>589609</xdr:colOff>
      <xdr:row>11</xdr:row>
      <xdr:rowOff>0</xdr:rowOff>
    </xdr:from>
    <xdr:to>
      <xdr:col>7</xdr:col>
      <xdr:colOff>343728</xdr:colOff>
      <xdr:row>12</xdr:row>
      <xdr:rowOff>104588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202215CD-DF6D-5808-27F8-F1D035F07A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5311021" y="2540000"/>
          <a:ext cx="346537" cy="291353"/>
        </a:xfrm>
        <a:prstGeom prst="rect">
          <a:avLst/>
        </a:prstGeom>
      </xdr:spPr>
    </xdr:pic>
    <xdr:clientData/>
  </xdr:twoCellAnchor>
  <xdr:twoCellAnchor editAs="oneCell">
    <xdr:from>
      <xdr:col>6</xdr:col>
      <xdr:colOff>585692</xdr:colOff>
      <xdr:row>5</xdr:row>
      <xdr:rowOff>97118</xdr:rowOff>
    </xdr:from>
    <xdr:to>
      <xdr:col>7</xdr:col>
      <xdr:colOff>432917</xdr:colOff>
      <xdr:row>7</xdr:row>
      <xdr:rowOff>156882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E40606F2-56D3-2F25-D4D4-FD6F9C76B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7104" y="1516530"/>
          <a:ext cx="433293" cy="433293"/>
        </a:xfrm>
        <a:prstGeom prst="rect">
          <a:avLst/>
        </a:prstGeom>
      </xdr:spPr>
    </xdr:pic>
    <xdr:clientData/>
  </xdr:twoCellAnchor>
  <xdr:twoCellAnchor editAs="oneCell">
    <xdr:from>
      <xdr:col>6</xdr:col>
      <xdr:colOff>597647</xdr:colOff>
      <xdr:row>8</xdr:row>
      <xdr:rowOff>67235</xdr:rowOff>
    </xdr:from>
    <xdr:to>
      <xdr:col>7</xdr:col>
      <xdr:colOff>367925</xdr:colOff>
      <xdr:row>10</xdr:row>
      <xdr:rowOff>62752</xdr:rowOff>
    </xdr:to>
    <xdr:pic>
      <xdr:nvPicPr>
        <xdr:cNvPr id="60" name="Picture 59">
          <a:extLst>
            <a:ext uri="{FF2B5EF4-FFF2-40B4-BE49-F238E27FC236}">
              <a16:creationId xmlns:a16="http://schemas.microsoft.com/office/drawing/2014/main" id="{21068014-EBC7-62AC-2234-8263F8334B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9059" y="2046941"/>
          <a:ext cx="369046" cy="369046"/>
        </a:xfrm>
        <a:prstGeom prst="rect">
          <a:avLst/>
        </a:prstGeom>
      </xdr:spPr>
    </xdr:pic>
    <xdr:clientData/>
  </xdr:twoCellAnchor>
  <xdr:twoCellAnchor editAs="oneCell">
    <xdr:from>
      <xdr:col>7</xdr:col>
      <xdr:colOff>4698</xdr:colOff>
      <xdr:row>13</xdr:row>
      <xdr:rowOff>93714</xdr:rowOff>
    </xdr:from>
    <xdr:to>
      <xdr:col>7</xdr:col>
      <xdr:colOff>340874</xdr:colOff>
      <xdr:row>15</xdr:row>
      <xdr:rowOff>56362</xdr:rowOff>
    </xdr:to>
    <xdr:pic>
      <xdr:nvPicPr>
        <xdr:cNvPr id="62" name="Graphic 61" descr="Document with solid fill">
          <a:extLst>
            <a:ext uri="{FF2B5EF4-FFF2-40B4-BE49-F238E27FC236}">
              <a16:creationId xmlns:a16="http://schemas.microsoft.com/office/drawing/2014/main" id="{1D6F948F-CB6D-AF80-68F9-40F082BDD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6528811" y="2992182"/>
          <a:ext cx="336176" cy="331357"/>
        </a:xfrm>
        <a:prstGeom prst="rect">
          <a:avLst/>
        </a:prstGeom>
      </xdr:spPr>
    </xdr:pic>
    <xdr:clientData/>
  </xdr:twoCellAnchor>
  <xdr:twoCellAnchor editAs="oneCell">
    <xdr:from>
      <xdr:col>6</xdr:col>
      <xdr:colOff>406400</xdr:colOff>
      <xdr:row>16</xdr:row>
      <xdr:rowOff>87962</xdr:rowOff>
    </xdr:from>
    <xdr:to>
      <xdr:col>7</xdr:col>
      <xdr:colOff>342152</xdr:colOff>
      <xdr:row>18</xdr:row>
      <xdr:rowOff>125892</xdr:rowOff>
    </xdr:to>
    <xdr:pic>
      <xdr:nvPicPr>
        <xdr:cNvPr id="1026" name="Picture 1025">
          <a:extLst>
            <a:ext uri="{FF2B5EF4-FFF2-40B4-BE49-F238E27FC236}">
              <a16:creationId xmlns:a16="http://schemas.microsoft.com/office/drawing/2014/main" id="{4C2ED381-71B6-B46D-6CC6-AEB16FC5E4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9142" y="3539494"/>
          <a:ext cx="417123" cy="40664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5BF3250-C530-4573-A1E4-6B0532B261EF}" name="Table4" displayName="Table4" ref="A3:D7" totalsRowShown="0" headerRowDxfId="5">
  <autoFilter ref="A3:D7" xr:uid="{35BF3250-C530-4573-A1E4-6B0532B261EF}"/>
  <tableColumns count="4">
    <tableColumn id="1" xr3:uid="{0A5739FA-BE18-4436-B815-2A9E7B60D718}" name="REC ID."/>
    <tableColumn id="2" xr3:uid="{C8D0A7A0-EB35-4179-8229-5E4DA120B71F}" name="REC DATE"/>
    <tableColumn id="3" xr3:uid="{BD3F3E01-4731-4E07-8D55-EB85D8506ADF}" name="NAME"/>
    <tableColumn id="4" xr3:uid="{1FBC3F6E-2B40-4DD4-87B3-A06A7E0489B3}" name="TOTAL" dataDxfId="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9F84D84-AF87-4E77-A63B-76A6DA54A82A}" name="Table3" displayName="Table3" ref="A3:H13" totalsRowShown="0" headerRowDxfId="9">
  <autoFilter ref="A3:H13" xr:uid="{A9F84D84-AF87-4E77-A63B-76A6DA54A82A}"/>
  <tableColumns count="8">
    <tableColumn id="1" xr3:uid="{17FB930E-2086-482D-B13D-B57B5DA4082C}" name="REC ID" dataDxfId="8"/>
    <tableColumn id="2" xr3:uid="{5D8D7B7A-0765-41B7-BD50-C93334CE54AA}" name="ITEM NAME"/>
    <tableColumn id="3" xr3:uid="{32B658EA-9C10-42EF-81FA-B7B3EE2895B0}" name="ITEM DESC"/>
    <tableColumn id="4" xr3:uid="{7AB939A4-220D-4DB9-A39D-54E1E18ECA8A}" name="QTY"/>
    <tableColumn id="5" xr3:uid="{2ADF0536-716B-4B87-B4FF-2F8EE753EFEB}" name="UNIT PRICE"/>
    <tableColumn id="6" xr3:uid="{DC5BC965-2C67-4237-A3C4-3EFFDB898950}" name="TOTAL"/>
    <tableColumn id="7" xr3:uid="{530F8B10-4B6A-49C7-BEF7-163F3F81EFCE}" name="REC. ROW"/>
    <tableColumn id="8" xr3:uid="{5672BAC1-F154-4557-8CE3-5D9D41543481}" name="DB ROW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59540B0-0019-443E-AB31-CE290F5D60A4}" name="Table2" displayName="Table2" ref="A3:D8" totalsRowShown="0">
  <autoFilter ref="A3:D8" xr:uid="{D59540B0-0019-443E-AB31-CE290F5D60A4}"/>
  <tableColumns count="4">
    <tableColumn id="1" xr3:uid="{76ADAEEB-BB34-4A46-9E3C-2324B4B57061}" name="CUSTOMER NAME"/>
    <tableColumn id="2" xr3:uid="{FB032D7A-322A-4663-84E7-026EC863636A}" name="ADDRESS"/>
    <tableColumn id="3" xr3:uid="{4D871E14-36F0-4A62-AFF3-7FD5309E8CB7}" name="EMAIL" dataCellStyle="Hyperlink"/>
    <tableColumn id="4" xr3:uid="{7DF57D64-DB7A-4FCB-87C3-B01CB6A48BB9}" name="PHONE NUMBER" dataDxfId="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D07A41-D54C-4C1D-84C2-25957E1C7366}" name="Table1" displayName="Table1" ref="A3:C7" totalsRowShown="0" headerRowDxfId="4">
  <autoFilter ref="A3:C7" xr:uid="{9BD07A41-D54C-4C1D-84C2-25957E1C7366}"/>
  <tableColumns count="3">
    <tableColumn id="1" xr3:uid="{38F8C929-C85F-4612-9422-F4C05F72D955}" name="ITEM NAME"/>
    <tableColumn id="2" xr3:uid="{7126A89E-FB98-40AD-AFBB-3B9AD74ECA56}" name="DESCRIPTION"/>
    <tableColumn id="3" xr3:uid="{C4BA0947-64D9-4027-AB03-AD209918FC8F}" name="PRICE" dataDxf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FD724-B1DE-4A8F-9613-A0129BDBB224}">
  <sheetPr codeName="Sheet1"/>
  <dimension ref="O1:S2"/>
  <sheetViews>
    <sheetView workbookViewId="0">
      <selection activeCell="R14" sqref="R14"/>
    </sheetView>
  </sheetViews>
  <sheetFormatPr defaultRowHeight="14.5" x14ac:dyDescent="0.35"/>
  <sheetData>
    <row r="1" spans="15:19" ht="21" x14ac:dyDescent="0.5">
      <c r="O1" s="50"/>
      <c r="P1" s="50" t="s">
        <v>37</v>
      </c>
    </row>
    <row r="2" spans="15:19" ht="21" x14ac:dyDescent="0.5">
      <c r="P2" s="50" t="s">
        <v>38</v>
      </c>
      <c r="Q2" s="50"/>
      <c r="R2" s="50"/>
      <c r="S2" s="50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883451-A8C4-4884-8DB8-D62AE532AE06}">
  <sheetPr codeName="Receipt"/>
  <dimension ref="B1:J38"/>
  <sheetViews>
    <sheetView showGridLines="0" zoomScale="62" zoomScaleNormal="62" workbookViewId="0">
      <selection activeCell="I3" sqref="I3"/>
    </sheetView>
  </sheetViews>
  <sheetFormatPr defaultRowHeight="14.5" x14ac:dyDescent="0.35"/>
  <cols>
    <col min="1" max="1" width="4.54296875" customWidth="1"/>
    <col min="2" max="2" width="11.90625" customWidth="1"/>
    <col min="3" max="3" width="34.26953125" customWidth="1"/>
    <col min="4" max="5" width="12.26953125" customWidth="1"/>
    <col min="6" max="6" width="11.1796875" customWidth="1"/>
    <col min="7" max="7" width="6.81640625" style="47" customWidth="1"/>
    <col min="8" max="8" width="13.453125" customWidth="1"/>
  </cols>
  <sheetData>
    <row r="1" spans="2:10" ht="50.5" customHeight="1" thickTop="1" thickBot="1" x14ac:dyDescent="0.4">
      <c r="B1" s="9"/>
      <c r="C1" s="10"/>
      <c r="D1" s="10"/>
      <c r="E1" s="10"/>
      <c r="F1" s="11"/>
    </row>
    <row r="2" spans="2:10" ht="15.5" thickTop="1" thickBot="1" x14ac:dyDescent="0.4">
      <c r="B2" s="12"/>
      <c r="C2" s="13"/>
      <c r="D2" s="13"/>
      <c r="E2" s="13"/>
      <c r="F2" s="14"/>
      <c r="H2" s="26" t="s">
        <v>27</v>
      </c>
      <c r="I2" s="27"/>
      <c r="J2" s="13"/>
    </row>
    <row r="3" spans="2:10" ht="15.5" thickTop="1" thickBot="1" x14ac:dyDescent="0.4">
      <c r="B3" s="15" t="s">
        <v>35</v>
      </c>
      <c r="C3" s="46"/>
      <c r="D3" s="13"/>
      <c r="E3" s="36" t="s">
        <v>25</v>
      </c>
      <c r="F3" s="14">
        <v>1</v>
      </c>
      <c r="H3" s="26" t="s">
        <v>30</v>
      </c>
      <c r="I3" s="20" t="s">
        <v>33</v>
      </c>
      <c r="J3" s="13"/>
    </row>
    <row r="4" spans="2:10" ht="15.5" thickTop="1" thickBot="1" x14ac:dyDescent="0.4">
      <c r="B4" s="12"/>
      <c r="C4" s="13"/>
      <c r="D4" s="13"/>
      <c r="E4" s="36" t="s">
        <v>26</v>
      </c>
      <c r="F4" s="37">
        <v>46112</v>
      </c>
      <c r="H4" s="26" t="s">
        <v>32</v>
      </c>
      <c r="I4" s="28">
        <v>0.2</v>
      </c>
      <c r="J4" s="13"/>
    </row>
    <row r="5" spans="2:10" ht="15" thickTop="1" x14ac:dyDescent="0.35">
      <c r="B5" s="12"/>
      <c r="C5" s="45"/>
      <c r="D5" s="13"/>
      <c r="E5" s="13"/>
      <c r="F5" s="14"/>
    </row>
    <row r="6" spans="2:10" x14ac:dyDescent="0.35">
      <c r="B6" s="12"/>
      <c r="C6" s="13"/>
      <c r="D6" s="13"/>
      <c r="E6" s="13"/>
      <c r="F6" s="14"/>
    </row>
    <row r="7" spans="2:10" x14ac:dyDescent="0.35">
      <c r="B7" s="16" t="s">
        <v>20</v>
      </c>
      <c r="C7" s="8" t="s">
        <v>21</v>
      </c>
      <c r="D7" s="8" t="s">
        <v>22</v>
      </c>
      <c r="E7" s="8" t="s">
        <v>23</v>
      </c>
      <c r="F7" s="17" t="s">
        <v>24</v>
      </c>
    </row>
    <row r="8" spans="2:10" x14ac:dyDescent="0.35">
      <c r="B8" s="30"/>
      <c r="C8" s="31"/>
      <c r="D8" s="31"/>
      <c r="E8" s="33"/>
      <c r="F8" s="32" t="str">
        <f>IF(AND(D8&lt;&gt;"",E8&lt;&gt;""),D8*E8,"")</f>
        <v/>
      </c>
    </row>
    <row r="9" spans="2:10" x14ac:dyDescent="0.35">
      <c r="B9" s="30"/>
      <c r="C9" s="31"/>
      <c r="D9" s="31"/>
      <c r="E9" s="33"/>
      <c r="F9" s="34" t="str">
        <f>IF(AND(D9&lt;&gt;"",E9&lt;&gt;""),D9*E9,"")</f>
        <v/>
      </c>
    </row>
    <row r="10" spans="2:10" x14ac:dyDescent="0.35">
      <c r="B10" s="30"/>
      <c r="C10" s="31"/>
      <c r="D10" s="31"/>
      <c r="E10" s="33"/>
      <c r="F10" s="34" t="str">
        <f>IF(AND(D10&lt;&gt;"",E10&lt;&gt;""),D10*E10,"")</f>
        <v/>
      </c>
    </row>
    <row r="11" spans="2:10" x14ac:dyDescent="0.35">
      <c r="B11" s="30"/>
      <c r="C11" s="31"/>
      <c r="D11" s="31"/>
      <c r="E11" s="33"/>
      <c r="F11" s="34" t="str">
        <f>IF(AND(D11&lt;&gt;"",E11&lt;&gt;""),D11*E11,"")</f>
        <v/>
      </c>
    </row>
    <row r="12" spans="2:10" x14ac:dyDescent="0.35">
      <c r="B12" s="30"/>
      <c r="C12" s="31"/>
      <c r="D12" s="31"/>
      <c r="E12" s="33"/>
      <c r="F12" s="34"/>
    </row>
    <row r="13" spans="2:10" x14ac:dyDescent="0.35">
      <c r="B13" s="30"/>
      <c r="C13" s="31"/>
      <c r="D13" s="31"/>
      <c r="E13" s="33"/>
      <c r="F13" s="34"/>
    </row>
    <row r="14" spans="2:10" x14ac:dyDescent="0.35">
      <c r="B14" s="30"/>
      <c r="C14" s="31"/>
      <c r="D14" s="31"/>
      <c r="E14" s="33"/>
      <c r="F14" s="34"/>
    </row>
    <row r="15" spans="2:10" x14ac:dyDescent="0.35">
      <c r="B15" s="30"/>
      <c r="C15" s="31"/>
      <c r="D15" s="31"/>
      <c r="E15" s="33"/>
      <c r="F15" s="34"/>
    </row>
    <row r="16" spans="2:10" x14ac:dyDescent="0.35">
      <c r="B16" s="30"/>
      <c r="C16" s="31"/>
      <c r="D16" s="31"/>
      <c r="E16" s="33"/>
      <c r="F16" s="34"/>
    </row>
    <row r="17" spans="2:6" x14ac:dyDescent="0.35">
      <c r="B17" s="30"/>
      <c r="C17" s="31"/>
      <c r="D17" s="31"/>
      <c r="E17" s="33"/>
      <c r="F17" s="34"/>
    </row>
    <row r="18" spans="2:6" x14ac:dyDescent="0.35">
      <c r="B18" s="30"/>
      <c r="C18" s="31"/>
      <c r="D18" s="31"/>
      <c r="E18" s="33"/>
      <c r="F18" s="34"/>
    </row>
    <row r="19" spans="2:6" x14ac:dyDescent="0.35">
      <c r="B19" s="30"/>
      <c r="C19" s="31"/>
      <c r="D19" s="31"/>
      <c r="E19" s="33"/>
      <c r="F19" s="34"/>
    </row>
    <row r="20" spans="2:6" x14ac:dyDescent="0.35">
      <c r="B20" s="30"/>
      <c r="C20" s="31"/>
      <c r="D20" s="31"/>
      <c r="E20" s="33"/>
      <c r="F20" s="34"/>
    </row>
    <row r="21" spans="2:6" x14ac:dyDescent="0.35">
      <c r="B21" s="30"/>
      <c r="C21" s="31"/>
      <c r="D21" s="31"/>
      <c r="E21" s="33"/>
      <c r="F21" s="34"/>
    </row>
    <row r="22" spans="2:6" x14ac:dyDescent="0.35">
      <c r="B22" s="30"/>
      <c r="C22" s="31"/>
      <c r="D22" s="31"/>
      <c r="E22" s="33"/>
      <c r="F22" s="34"/>
    </row>
    <row r="23" spans="2:6" x14ac:dyDescent="0.35">
      <c r="B23" s="30"/>
      <c r="C23" s="31"/>
      <c r="D23" s="31"/>
      <c r="E23" s="33"/>
      <c r="F23" s="34"/>
    </row>
    <row r="24" spans="2:6" x14ac:dyDescent="0.35">
      <c r="B24" s="30"/>
      <c r="C24" s="31"/>
      <c r="D24" s="31"/>
      <c r="E24" s="33"/>
      <c r="F24" s="34"/>
    </row>
    <row r="25" spans="2:6" x14ac:dyDescent="0.35">
      <c r="B25" s="30"/>
      <c r="C25" s="31"/>
      <c r="D25" s="31"/>
      <c r="E25" s="33"/>
      <c r="F25" s="34"/>
    </row>
    <row r="26" spans="2:6" x14ac:dyDescent="0.35">
      <c r="B26" s="30"/>
      <c r="C26" s="31"/>
      <c r="D26" s="31"/>
      <c r="E26" s="33"/>
      <c r="F26" s="34"/>
    </row>
    <row r="27" spans="2:6" x14ac:dyDescent="0.35">
      <c r="B27" s="30"/>
      <c r="C27" s="31"/>
      <c r="D27" s="31"/>
      <c r="E27" s="33"/>
      <c r="F27" s="34"/>
    </row>
    <row r="28" spans="2:6" x14ac:dyDescent="0.35">
      <c r="B28" s="30"/>
      <c r="C28" s="31"/>
      <c r="D28" s="31"/>
      <c r="E28" s="33"/>
      <c r="F28" s="34"/>
    </row>
    <row r="29" spans="2:6" x14ac:dyDescent="0.35">
      <c r="B29" s="30"/>
      <c r="C29" s="31"/>
      <c r="D29" s="31"/>
      <c r="E29" s="33"/>
      <c r="F29" s="34"/>
    </row>
    <row r="30" spans="2:6" x14ac:dyDescent="0.35">
      <c r="B30" s="30"/>
      <c r="C30" s="31"/>
      <c r="D30" s="31"/>
      <c r="E30" s="33"/>
      <c r="F30" s="34"/>
    </row>
    <row r="31" spans="2:6" x14ac:dyDescent="0.35">
      <c r="B31" s="30"/>
      <c r="C31" s="31"/>
      <c r="D31" s="31"/>
      <c r="E31" s="33"/>
      <c r="F31" s="34"/>
    </row>
    <row r="32" spans="2:6" x14ac:dyDescent="0.35">
      <c r="B32" s="30"/>
      <c r="C32" s="31"/>
      <c r="D32" s="31"/>
      <c r="E32" s="33"/>
      <c r="F32" s="34"/>
    </row>
    <row r="33" spans="2:6" x14ac:dyDescent="0.35">
      <c r="B33" s="30"/>
      <c r="C33" s="31"/>
      <c r="D33" s="31"/>
      <c r="E33" s="33"/>
      <c r="F33" s="34"/>
    </row>
    <row r="34" spans="2:6" ht="15" thickBot="1" x14ac:dyDescent="0.4">
      <c r="B34" s="30"/>
      <c r="C34" s="31"/>
      <c r="D34" s="31"/>
      <c r="E34" s="33"/>
      <c r="F34" s="35"/>
    </row>
    <row r="35" spans="2:6" ht="15" thickTop="1" x14ac:dyDescent="0.35">
      <c r="B35" s="9"/>
      <c r="C35" s="10"/>
      <c r="D35" s="39"/>
      <c r="E35" s="21" t="s">
        <v>28</v>
      </c>
      <c r="F35" s="24">
        <f>SUM(F8:F34)</f>
        <v>0</v>
      </c>
    </row>
    <row r="36" spans="2:6" x14ac:dyDescent="0.35">
      <c r="B36" s="38" t="s">
        <v>34</v>
      </c>
      <c r="C36" s="13"/>
      <c r="D36" s="40"/>
      <c r="E36" s="22" t="s">
        <v>29</v>
      </c>
      <c r="F36" s="29">
        <f>IF(I3="Yes",F35*I4," ")</f>
        <v>0</v>
      </c>
    </row>
    <row r="37" spans="2:6" ht="15" thickBot="1" x14ac:dyDescent="0.4">
      <c r="B37" s="18"/>
      <c r="C37" s="19"/>
      <c r="D37" s="19"/>
      <c r="E37" s="23" t="s">
        <v>31</v>
      </c>
      <c r="F37" s="25">
        <f>SUM(F35:F36)</f>
        <v>0</v>
      </c>
    </row>
    <row r="38" spans="2:6" ht="15" thickTop="1" x14ac:dyDescent="0.35"/>
  </sheetData>
  <conditionalFormatting sqref="B37:F37 D35:F36 B7:F28 B31:F34">
    <cfRule type="expression" dxfId="3" priority="2">
      <formula>$B13&lt;&gt;""</formula>
    </cfRule>
  </conditionalFormatting>
  <conditionalFormatting sqref="B8:F29 B31:F34">
    <cfRule type="expression" dxfId="2" priority="1">
      <formula>$B8&lt;&gt;""</formula>
    </cfRule>
  </conditionalFormatting>
  <conditionalFormatting sqref="B36:C36">
    <cfRule type="expression" dxfId="1" priority="4">
      <formula>$B42&lt;&gt;""</formula>
    </cfRule>
  </conditionalFormatting>
  <conditionalFormatting sqref="B29:F29">
    <cfRule type="expression" dxfId="0" priority="6">
      <formula>#REF!&lt;&gt;""</formula>
    </cfRule>
  </conditionalFormatting>
  <dataValidations count="1">
    <dataValidation type="list" allowBlank="1" showInputMessage="1" showErrorMessage="1" sqref="I3" xr:uid="{D8249E70-AB57-4AFD-9371-9F53F0B09DE2}">
      <formula1>"Yes, No"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5B94EB7-95EE-4165-9656-FC30EFEE8C43}">
          <x14:formula1>
            <xm:f>Customers!$A$4:$A$1048576</xm:f>
          </x14:formula1>
          <xm:sqref>C3</xm:sqref>
        </x14:dataValidation>
        <x14:dataValidation type="list" allowBlank="1" showInputMessage="1" showErrorMessage="1" xr:uid="{80FA0261-167F-47D4-A1DE-2554E3FA7A1A}">
          <x14:formula1>
            <xm:f>Items!$A$4:$A$1048576</xm:f>
          </x14:formula1>
          <xm:sqref>B8:B34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143FA-BDEC-4B51-A7CE-E07EDB246B5B}">
  <sheetPr codeName="ReceiptDB"/>
  <dimension ref="A1:D7"/>
  <sheetViews>
    <sheetView workbookViewId="0">
      <pane ySplit="3" topLeftCell="A4" activePane="bottomLeft" state="frozen"/>
      <selection pane="bottomLeft" activeCell="A4" sqref="A4"/>
    </sheetView>
  </sheetViews>
  <sheetFormatPr defaultRowHeight="14.5" x14ac:dyDescent="0.35"/>
  <cols>
    <col min="1" max="1" width="11.81640625" customWidth="1"/>
    <col min="2" max="2" width="16.453125" customWidth="1"/>
    <col min="3" max="3" width="13.08984375" customWidth="1"/>
    <col min="4" max="4" width="10.90625" style="1" customWidth="1"/>
  </cols>
  <sheetData>
    <row r="1" spans="1:4" ht="17.5" x14ac:dyDescent="0.35">
      <c r="A1" s="4" t="s">
        <v>17</v>
      </c>
    </row>
    <row r="3" spans="1:4" x14ac:dyDescent="0.35">
      <c r="A3" s="2" t="s">
        <v>18</v>
      </c>
      <c r="B3" s="2" t="s">
        <v>19</v>
      </c>
      <c r="C3" s="2" t="s">
        <v>36</v>
      </c>
      <c r="D3" s="51" t="s">
        <v>12</v>
      </c>
    </row>
    <row r="4" spans="1:4" x14ac:dyDescent="0.35">
      <c r="B4" s="44"/>
    </row>
    <row r="5" spans="1:4" x14ac:dyDescent="0.35">
      <c r="B5" s="44"/>
    </row>
    <row r="6" spans="1:4" x14ac:dyDescent="0.35">
      <c r="B6" s="44"/>
    </row>
    <row r="7" spans="1:4" x14ac:dyDescent="0.35">
      <c r="B7" s="44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E13D3-CA86-4D5B-B8C8-BC63AFC8B2E8}">
  <sheetPr codeName="RecItemDB"/>
  <dimension ref="A1:H3"/>
  <sheetViews>
    <sheetView tabSelected="1" workbookViewId="0">
      <pane ySplit="3" topLeftCell="A4" activePane="bottomLeft" state="frozen"/>
      <selection pane="bottomLeft" activeCell="A13" sqref="A13"/>
    </sheetView>
  </sheetViews>
  <sheetFormatPr defaultRowHeight="14.5" x14ac:dyDescent="0.35"/>
  <cols>
    <col min="1" max="1" width="21.08984375" style="49" customWidth="1"/>
    <col min="2" max="2" width="14.6328125" customWidth="1"/>
    <col min="3" max="3" width="14.90625" customWidth="1"/>
    <col min="5" max="5" width="15" bestFit="1" customWidth="1"/>
    <col min="6" max="6" width="10.08984375" bestFit="1" customWidth="1"/>
    <col min="7" max="7" width="13.26953125" bestFit="1" customWidth="1"/>
    <col min="8" max="8" width="11.36328125" bestFit="1" customWidth="1"/>
  </cols>
  <sheetData>
    <row r="1" spans="1:8" ht="17.5" x14ac:dyDescent="0.35">
      <c r="A1" s="6" t="s">
        <v>15</v>
      </c>
      <c r="B1" s="4" t="s">
        <v>16</v>
      </c>
    </row>
    <row r="3" spans="1:8" x14ac:dyDescent="0.35">
      <c r="A3" s="48" t="s">
        <v>8</v>
      </c>
      <c r="B3" s="2" t="s">
        <v>1</v>
      </c>
      <c r="C3" s="2" t="s">
        <v>9</v>
      </c>
      <c r="D3" s="2" t="s">
        <v>10</v>
      </c>
      <c r="E3" s="2" t="s">
        <v>11</v>
      </c>
      <c r="F3" s="2" t="s">
        <v>12</v>
      </c>
      <c r="G3" s="2" t="s">
        <v>13</v>
      </c>
      <c r="H3" s="2" t="s">
        <v>14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CDBF9-3305-4547-A1F2-56ABAB3FD085}">
  <sheetPr codeName="Customers"/>
  <dimension ref="A1:D8"/>
  <sheetViews>
    <sheetView zoomScaleNormal="100" workbookViewId="0">
      <pane ySplit="3" topLeftCell="A4" activePane="bottomLeft" state="frozen"/>
      <selection pane="bottomLeft" activeCell="D4" sqref="D4"/>
    </sheetView>
  </sheetViews>
  <sheetFormatPr defaultRowHeight="14.5" x14ac:dyDescent="0.35"/>
  <cols>
    <col min="1" max="1" width="29.54296875" customWidth="1"/>
    <col min="2" max="2" width="14" customWidth="1"/>
    <col min="3" max="3" width="21.6328125" customWidth="1"/>
    <col min="4" max="4" width="19.36328125" style="42" customWidth="1"/>
  </cols>
  <sheetData>
    <row r="1" spans="1:4" ht="17.5" x14ac:dyDescent="0.35">
      <c r="A1" s="6" t="s">
        <v>4</v>
      </c>
    </row>
    <row r="3" spans="1:4" x14ac:dyDescent="0.35">
      <c r="A3" s="5" t="s">
        <v>5</v>
      </c>
      <c r="B3" s="3" t="s">
        <v>6</v>
      </c>
      <c r="C3" s="3" t="s">
        <v>39</v>
      </c>
      <c r="D3" s="43" t="s">
        <v>7</v>
      </c>
    </row>
    <row r="4" spans="1:4" x14ac:dyDescent="0.35">
      <c r="C4" s="7"/>
      <c r="D4" s="41"/>
    </row>
    <row r="5" spans="1:4" x14ac:dyDescent="0.35">
      <c r="C5" s="7"/>
      <c r="D5" s="41"/>
    </row>
    <row r="6" spans="1:4" x14ac:dyDescent="0.35">
      <c r="C6" s="7"/>
      <c r="D6" s="41"/>
    </row>
    <row r="7" spans="1:4" x14ac:dyDescent="0.35">
      <c r="C7" s="7"/>
      <c r="D7" s="41"/>
    </row>
    <row r="8" spans="1:4" x14ac:dyDescent="0.35">
      <c r="C8" s="7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A020D-CCB6-486F-B7A3-79DE93ECB998}">
  <sheetPr codeName="Items"/>
  <dimension ref="A1:C7"/>
  <sheetViews>
    <sheetView workbookViewId="0">
      <pane ySplit="3" topLeftCell="A4" activePane="bottomLeft" state="frozen"/>
      <selection pane="bottomLeft" activeCell="C4" sqref="C4"/>
    </sheetView>
  </sheetViews>
  <sheetFormatPr defaultRowHeight="14.5" x14ac:dyDescent="0.35"/>
  <cols>
    <col min="1" max="1" width="21.36328125" customWidth="1"/>
    <col min="2" max="2" width="18.08984375" customWidth="1"/>
    <col min="3" max="3" width="10.7265625" customWidth="1"/>
  </cols>
  <sheetData>
    <row r="1" spans="1:3" ht="17.5" x14ac:dyDescent="0.35">
      <c r="A1" s="4" t="s">
        <v>0</v>
      </c>
    </row>
    <row r="3" spans="1:3" x14ac:dyDescent="0.35">
      <c r="A3" s="2" t="s">
        <v>1</v>
      </c>
      <c r="B3" s="2" t="s">
        <v>2</v>
      </c>
      <c r="C3" s="2" t="s">
        <v>3</v>
      </c>
    </row>
    <row r="4" spans="1:3" x14ac:dyDescent="0.35">
      <c r="C4" s="1"/>
    </row>
    <row r="5" spans="1:3" x14ac:dyDescent="0.35">
      <c r="C5" s="1"/>
    </row>
    <row r="6" spans="1:3" x14ac:dyDescent="0.35">
      <c r="C6" s="1"/>
    </row>
    <row r="7" spans="1:3" x14ac:dyDescent="0.35">
      <c r="C7" s="1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Start Here</vt:lpstr>
      <vt:lpstr>Receipt</vt:lpstr>
      <vt:lpstr>ReceiptDB</vt:lpstr>
      <vt:lpstr>ReceiptItemDB</vt:lpstr>
      <vt:lpstr>Customers</vt:lpstr>
      <vt:lpstr>Items</vt:lpstr>
      <vt:lpstr>Receipt!Print_Area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Abena Mireku</dc:creator>
  <cp:lastModifiedBy>Abena Mireku</cp:lastModifiedBy>
  <cp:lastPrinted>2026-03-31T22:06:52Z</cp:lastPrinted>
  <dcterms:created xsi:type="dcterms:W3CDTF">2026-03-27T04:51:15Z</dcterms:created>
  <dcterms:modified xsi:type="dcterms:W3CDTF">2026-04-01T23:30:51Z</dcterms:modified>
</cp:coreProperties>
</file>